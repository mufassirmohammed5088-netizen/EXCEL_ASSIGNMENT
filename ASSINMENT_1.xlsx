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EXCEL _D75\"/>
    </mc:Choice>
  </mc:AlternateContent>
  <xr:revisionPtr revIDLastSave="0" documentId="8_{3A7EA77F-9C3F-4E2A-9B53-C7B1314ABC7A}" xr6:coauthVersionLast="47" xr6:coauthVersionMax="47" xr10:uidLastSave="{00000000-0000-0000-0000-000000000000}"/>
  <bookViews>
    <workbookView xWindow="-108" yWindow="-108" windowWidth="23256" windowHeight="12456" activeTab="1" xr2:uid="{649655E6-BFF5-4672-ADC2-9B747C758C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2" l="1"/>
  <c r="E43" i="2"/>
  <c r="E42" i="2"/>
  <c r="E41" i="2"/>
  <c r="E40" i="2"/>
  <c r="E39" i="2"/>
  <c r="E38" i="2"/>
  <c r="K37" i="2"/>
  <c r="J37" i="2"/>
  <c r="I37" i="2"/>
  <c r="H37" i="2"/>
  <c r="K36" i="2"/>
  <c r="J36" i="2"/>
  <c r="I36" i="2"/>
  <c r="H36" i="2"/>
  <c r="K35" i="2"/>
  <c r="J35" i="2"/>
  <c r="I35" i="2"/>
  <c r="H35" i="2"/>
  <c r="K34" i="2"/>
  <c r="J34" i="2"/>
  <c r="I34" i="2"/>
  <c r="H34" i="2"/>
  <c r="K33" i="2"/>
  <c r="J33" i="2"/>
  <c r="I33" i="2"/>
  <c r="H33" i="2"/>
  <c r="K32" i="2"/>
  <c r="J32" i="2"/>
  <c r="I32" i="2"/>
  <c r="H32" i="2"/>
  <c r="K31" i="2"/>
  <c r="J31" i="2"/>
  <c r="I31" i="2"/>
  <c r="H31" i="2"/>
  <c r="K30" i="2"/>
  <c r="J30" i="2"/>
  <c r="I30" i="2"/>
  <c r="H30" i="2"/>
  <c r="K29" i="2"/>
  <c r="J29" i="2"/>
  <c r="I29" i="2"/>
  <c r="H29" i="2"/>
  <c r="K28" i="2"/>
  <c r="J28" i="2"/>
  <c r="I28" i="2"/>
  <c r="H28" i="2"/>
  <c r="K27" i="2"/>
  <c r="J27" i="2"/>
  <c r="I27" i="2"/>
  <c r="H27" i="2"/>
  <c r="K26" i="2"/>
  <c r="J26" i="2"/>
  <c r="I26" i="2"/>
  <c r="H26" i="2"/>
  <c r="K25" i="2"/>
  <c r="J25" i="2"/>
  <c r="I25" i="2"/>
  <c r="H25" i="2"/>
  <c r="K24" i="2"/>
  <c r="J24" i="2"/>
  <c r="I24" i="2"/>
  <c r="H24" i="2"/>
  <c r="K23" i="2"/>
  <c r="J23" i="2"/>
  <c r="I23" i="2"/>
  <c r="H23" i="2"/>
  <c r="K22" i="2"/>
  <c r="J22" i="2"/>
  <c r="I22" i="2"/>
  <c r="H22" i="2"/>
  <c r="K21" i="2"/>
  <c r="J21" i="2"/>
  <c r="I21" i="2"/>
  <c r="H21" i="2"/>
  <c r="K20" i="2"/>
  <c r="J20" i="2"/>
  <c r="I20" i="2"/>
  <c r="H20" i="2"/>
  <c r="K19" i="2"/>
  <c r="J19" i="2"/>
  <c r="I19" i="2"/>
  <c r="H19" i="2"/>
  <c r="K18" i="2"/>
  <c r="J18" i="2"/>
  <c r="I18" i="2"/>
  <c r="H18" i="2"/>
  <c r="K17" i="2"/>
  <c r="J17" i="2"/>
  <c r="I17" i="2"/>
  <c r="H17" i="2"/>
  <c r="K16" i="2"/>
  <c r="J16" i="2"/>
  <c r="I16" i="2"/>
  <c r="H16" i="2"/>
  <c r="K15" i="2"/>
  <c r="J15" i="2"/>
  <c r="I15" i="2"/>
  <c r="H15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K10" i="2"/>
  <c r="J10" i="2"/>
  <c r="I10" i="2"/>
  <c r="H10" i="2"/>
  <c r="K9" i="2"/>
  <c r="J9" i="2"/>
  <c r="I9" i="2"/>
  <c r="H9" i="2"/>
  <c r="K8" i="2"/>
  <c r="J8" i="2"/>
  <c r="I8" i="2"/>
  <c r="H8" i="2"/>
  <c r="K7" i="2"/>
  <c r="J7" i="2"/>
  <c r="I7" i="2"/>
  <c r="H7" i="2"/>
  <c r="K6" i="2"/>
  <c r="J6" i="2"/>
  <c r="I6" i="2"/>
  <c r="H6" i="2"/>
  <c r="K5" i="2"/>
  <c r="J5" i="2"/>
  <c r="I5" i="2"/>
  <c r="H5" i="2"/>
  <c r="K4" i="2"/>
  <c r="J4" i="2"/>
  <c r="I4" i="2"/>
  <c r="H4" i="2"/>
</calcChain>
</file>

<file path=xl/sharedStrings.xml><?xml version="1.0" encoding="utf-8"?>
<sst xmlns="http://schemas.openxmlformats.org/spreadsheetml/2006/main" count="295" uniqueCount="104">
  <si>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</si>
  <si>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</si>
  <si>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</si>
  <si>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</si>
  <si>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</si>
  <si>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</si>
  <si>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</si>
  <si>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</si>
  <si>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</si>
  <si>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</si>
  <si>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</si>
  <si>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</si>
  <si>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</si>
  <si>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</si>
  <si>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</si>
  <si>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</si>
  <si>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</si>
  <si>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</si>
  <si>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</si>
  <si>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</si>
  <si>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</si>
  <si>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</si>
  <si>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</si>
  <si>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</si>
  <si>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</si>
  <si>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</si>
  <si>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</si>
  <si>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</si>
  <si>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</si>
  <si>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</si>
  <si>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</si>
  <si>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</si>
  <si>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</si>
  <si>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</si>
  <si>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</si>
  <si>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</si>
  <si>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</si>
  <si>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</si>
  <si>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</si>
  <si>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</si>
  <si>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</si>
  <si>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</si>
  <si>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</si>
  <si>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</si>
  <si>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</si>
  <si>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</si>
  <si>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</si>
  <si>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</si>
  <si>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</si>
  <si>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</si>
  <si>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</si>
  <si>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</si>
  <si>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</si>
  <si>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</si>
  <si>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</si>
  <si>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</si>
  <si>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</si>
  <si>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</si>
  <si>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</si>
  <si>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</si>
  <si>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</si>
  <si>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</si>
  <si>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</si>
  <si>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</si>
  <si>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</si>
  <si>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</si>
  <si>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</si>
  <si>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</si>
  <si>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</si>
  <si>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</si>
  <si>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</si>
  <si>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</si>
  <si>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</si>
  <si>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</si>
  <si>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</si>
  <si>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</si>
  <si>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</si>
  <si>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</si>
  <si>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</si>
  <si>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</si>
  <si>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</si>
  <si>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</si>
  <si>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</si>
  <si>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</si>
  <si>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</si>
  <si>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</si>
  <si>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</si>
  <si>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</si>
  <si>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</si>
  <si>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</si>
  <si>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</si>
  <si>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</si>
  <si>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</si>
  <si>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</si>
  <si>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DAY</t>
  </si>
  <si>
    <t>MONTH</t>
  </si>
  <si>
    <t>TOTAL PRODUCT</t>
  </si>
  <si>
    <t>AVERAGE PRICE</t>
  </si>
  <si>
    <t>MINIMUM PRICE</t>
  </si>
  <si>
    <t>MAXIMUM PRICE</t>
  </si>
  <si>
    <t>COUNT</t>
  </si>
  <si>
    <t>ELECTRONIC TOTAL</t>
  </si>
  <si>
    <t>PRICE RANGE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</si>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</sst>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top"/>
    </xf>
    <xf numFmtId="0" fontId="3" fillId="0" borderId="3" xfId="0" applyFont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top"/>
    </xf>
    <xf numFmtId="0" fontId="0" fillId="7" borderId="0" xfId="0" applyFill="1"/>
    <xf numFmtId="0" fontId="3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0" fillId="4" borderId="0" xfId="0" applyFill="1"/>
    <xf numFmtId="0" fontId="2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5BACE6-7615-4646-8F3E-B92CA850765A}" name="Table2" displayName="Table2" ref="B3:G37" totalsRowShown="0">
  <autoFilter ref="B3:G37" xr:uid="{5B5BACE6-7615-4646-8F3E-B92CA850765A}"/>
  <tableColumns count="6">
    <tableColumn id="1" xr3:uid="{63397276-A5D7-4785-8B70-54A962B62A6E}" name="Product ID"/>
    <tableColumn id="2" xr3:uid="{91E3D148-3EC5-462A-AF05-609CB4414F2A}" name="Product Name"/>
    <tableColumn id="3" xr3:uid="{9BC11C41-EEE9-41DC-80DC-0E96F7CCB9CC}" name="Brand Name" dataDxfId="1"/>
    <tableColumn id="4" xr3:uid="{EC3CBABE-6AE3-4B80-9320-E24EB478CEF5}" name="Price ($)"/>
    <tableColumn id="5" xr3:uid="{EFC289FB-E833-4EEB-AA53-75A128EA36E1}" name="Quantity"/>
    <tableColumn id="6" xr3:uid="{8BD878E8-606F-450A-8906-47D72F02A793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AEA2C3-D768-4416-BBB5-C3104B660454}" name="Table22" displayName="Table22" ref="B3:K44" totalsRowShown="0">
  <autoFilter ref="B3:K44" xr:uid="{FFAEA2C3-D768-4416-BBB5-C3104B660454}"/>
  <tableColumns count="10">
    <tableColumn id="1" xr3:uid="{BBEE5A04-F84D-4256-B3A1-B24B2819E9A3}" name="Product ID"/>
    <tableColumn id="2" xr3:uid="{A661657C-D8C2-42C5-BA4F-942FEAEDB3F8}" name="Product Name"/>
    <tableColumn id="3" xr3:uid="{4A66C7A9-5597-4795-B044-39772660F98C}" name="Brand Name" dataDxfId="0"/>
    <tableColumn id="4" xr3:uid="{46A8B86D-F17C-42A5-AEF8-3090E251BBAE}" name="Price ($)"/>
    <tableColumn id="5" xr3:uid="{A00D12A0-C027-4787-8372-0403B21D57C8}" name="Quantity"/>
    <tableColumn id="6" xr3:uid="{F6F2E862-5CAE-472A-B934-F90016C6D9D9}" name="Category"/>
    <tableColumn id="7" xr3:uid="{6D041619-4CB2-4C44-8B71-3432CDBD6024}" name="PRICE RANGE"/>
    <tableColumn id="8" xr3:uid="{E4FF6804-3EB8-4FA4-A21A-F103402BB0EC}" name="DAY"/>
    <tableColumn id="9" xr3:uid="{D30AFDFC-C70D-4F26-A076-BE0105293F64}" name="MONTH"/>
    <tableColumn id="10" xr3:uid="{CAFA5E95-B505-467F-A009-392F87D45FDF}" name="COUNTRY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B7FF-9643-4D4C-A888-EC9CB6C80FFA}">
  <dimension ref="B2:M39"/>
  <sheetViews>
    <sheetView topLeftCell="A23" workbookViewId="0">
      <selection activeCell="K42" sqref="K42"/>
    </sheetView>
  </sheetViews>
  <sheetFormatPr defaultRowHeight="14.4" x14ac:dyDescent="0.3"/>
  <cols>
    <col min="2" max="2" width="12.21875" customWidth="1"/>
    <col min="3" max="3" width="20.33203125" customWidth="1"/>
    <col min="4" max="4" width="18.44140625" customWidth="1"/>
    <col min="5" max="5" width="11.77734375" customWidth="1"/>
    <col min="6" max="6" width="10.33203125" customWidth="1"/>
    <col min="7" max="7" width="10.88671875" customWidth="1"/>
    <col min="8" max="8" width="16" customWidth="1"/>
    <col min="10" max="10" width="9.5546875" customWidth="1"/>
    <col min="11" max="11" width="10.44140625" customWidth="1"/>
  </cols>
  <sheetData>
    <row r="2" spans="2:13" ht="15" thickBot="1" x14ac:dyDescent="0.35"/>
    <row r="3" spans="2:13" ht="15" thickBot="1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I3" s="10"/>
      <c r="J3" s="10"/>
      <c r="K3" s="11"/>
      <c r="L3" s="10"/>
      <c r="M3" s="10"/>
    </row>
    <row r="4" spans="2:13" ht="15" thickBot="1" x14ac:dyDescent="0.35">
      <c r="B4" s="2" t="s">
        <v>6</v>
      </c>
      <c r="C4" s="2" t="s">
        <v>7</v>
      </c>
      <c r="D4" s="2" t="s">
        <v>8</v>
      </c>
      <c r="E4" s="3">
        <v>1000</v>
      </c>
      <c r="F4" s="3">
        <v>30</v>
      </c>
      <c r="G4" s="2" t="s">
        <v>9</v>
      </c>
    </row>
    <row r="5" spans="2:13" ht="15" thickBot="1" x14ac:dyDescent="0.35">
      <c r="B5" s="4" t="s">
        <v>10</v>
      </c>
      <c r="C5" s="4" t="s">
        <v>11</v>
      </c>
      <c r="D5" s="4" t="s">
        <v>12</v>
      </c>
      <c r="E5" s="5">
        <v>80</v>
      </c>
      <c r="F5" s="5">
        <v>15</v>
      </c>
      <c r="G5" s="4" t="s">
        <v>13</v>
      </c>
    </row>
    <row r="6" spans="2:13" ht="15" thickBot="1" x14ac:dyDescent="0.35">
      <c r="B6" s="2" t="s">
        <v>14</v>
      </c>
      <c r="C6" s="2" t="s">
        <v>15</v>
      </c>
      <c r="D6" s="2" t="s">
        <v>16</v>
      </c>
      <c r="E6" s="3">
        <v>130</v>
      </c>
      <c r="F6" s="3">
        <v>40</v>
      </c>
      <c r="G6" s="2" t="s">
        <v>17</v>
      </c>
    </row>
    <row r="7" spans="2:13" ht="15" thickBot="1" x14ac:dyDescent="0.35">
      <c r="B7" s="4" t="s">
        <v>18</v>
      </c>
      <c r="C7" s="4" t="s">
        <v>19</v>
      </c>
      <c r="D7" s="4" t="s">
        <v>20</v>
      </c>
      <c r="E7" s="5">
        <v>900</v>
      </c>
      <c r="F7" s="5">
        <v>25</v>
      </c>
      <c r="G7" s="4" t="s">
        <v>9</v>
      </c>
    </row>
    <row r="8" spans="2:13" ht="15" thickBot="1" x14ac:dyDescent="0.35">
      <c r="B8" s="2" t="s">
        <v>21</v>
      </c>
      <c r="C8" s="2" t="s">
        <v>22</v>
      </c>
      <c r="D8" s="2" t="s">
        <v>23</v>
      </c>
      <c r="E8" s="3">
        <v>70</v>
      </c>
      <c r="F8" s="3">
        <v>20</v>
      </c>
      <c r="G8" s="2" t="s">
        <v>24</v>
      </c>
    </row>
    <row r="9" spans="2:13" ht="15" thickBot="1" x14ac:dyDescent="0.35">
      <c r="B9" s="4" t="s">
        <v>25</v>
      </c>
      <c r="C9" s="4" t="s">
        <v>26</v>
      </c>
      <c r="D9" s="4" t="s">
        <v>27</v>
      </c>
      <c r="E9" s="5">
        <v>200</v>
      </c>
      <c r="F9" s="5">
        <v>45</v>
      </c>
      <c r="G9" s="4" t="s">
        <v>9</v>
      </c>
    </row>
    <row r="10" spans="2:13" ht="15" thickBot="1" x14ac:dyDescent="0.35">
      <c r="B10" s="2" t="s">
        <v>28</v>
      </c>
      <c r="C10" s="2" t="s">
        <v>29</v>
      </c>
      <c r="D10" s="2" t="s">
        <v>30</v>
      </c>
      <c r="E10" s="3">
        <v>30</v>
      </c>
      <c r="F10" s="3">
        <v>5</v>
      </c>
      <c r="G10" s="2" t="s">
        <v>13</v>
      </c>
    </row>
    <row r="11" spans="2:13" ht="15" thickBot="1" x14ac:dyDescent="0.35">
      <c r="B11" s="4" t="s">
        <v>31</v>
      </c>
      <c r="C11" s="4" t="s">
        <v>32</v>
      </c>
      <c r="D11" s="4" t="s">
        <v>33</v>
      </c>
      <c r="E11" s="5">
        <v>90</v>
      </c>
      <c r="F11" s="5">
        <v>35</v>
      </c>
      <c r="G11" s="4" t="s">
        <v>17</v>
      </c>
    </row>
    <row r="12" spans="2:13" ht="15" thickBot="1" x14ac:dyDescent="0.35">
      <c r="B12" s="2" t="s">
        <v>34</v>
      </c>
      <c r="C12" s="2" t="s">
        <v>35</v>
      </c>
      <c r="D12" s="2" t="s">
        <v>36</v>
      </c>
      <c r="E12" s="3">
        <v>500</v>
      </c>
      <c r="F12" s="3">
        <v>50</v>
      </c>
      <c r="G12" s="2" t="s">
        <v>9</v>
      </c>
    </row>
    <row r="13" spans="2:13" ht="15" thickBot="1" x14ac:dyDescent="0.35">
      <c r="B13" s="4" t="s">
        <v>37</v>
      </c>
      <c r="C13" s="4" t="s">
        <v>38</v>
      </c>
      <c r="D13" s="4" t="s">
        <v>39</v>
      </c>
      <c r="E13" s="5">
        <v>130</v>
      </c>
      <c r="F13" s="5">
        <v>10</v>
      </c>
      <c r="G13" s="4" t="s">
        <v>24</v>
      </c>
    </row>
    <row r="14" spans="2:13" ht="15" thickBot="1" x14ac:dyDescent="0.35">
      <c r="B14" s="2" t="s">
        <v>40</v>
      </c>
      <c r="C14" s="2" t="s">
        <v>7</v>
      </c>
      <c r="D14" s="2" t="s">
        <v>41</v>
      </c>
      <c r="E14" s="3">
        <v>950</v>
      </c>
      <c r="F14" s="3">
        <v>25</v>
      </c>
      <c r="G14" s="2" t="s">
        <v>9</v>
      </c>
    </row>
    <row r="15" spans="2:13" ht="15" thickBot="1" x14ac:dyDescent="0.35">
      <c r="B15" s="4" t="s">
        <v>42</v>
      </c>
      <c r="C15" s="4" t="s">
        <v>11</v>
      </c>
      <c r="D15" s="4" t="s">
        <v>30</v>
      </c>
      <c r="E15" s="5">
        <v>90</v>
      </c>
      <c r="F15" s="5">
        <v>40</v>
      </c>
      <c r="G15" s="4" t="s">
        <v>13</v>
      </c>
    </row>
    <row r="16" spans="2:13" ht="15" thickBot="1" x14ac:dyDescent="0.35">
      <c r="B16" s="2" t="s">
        <v>43</v>
      </c>
      <c r="C16" s="2" t="s">
        <v>15</v>
      </c>
      <c r="D16" s="2" t="s">
        <v>44</v>
      </c>
      <c r="E16" s="3">
        <v>120</v>
      </c>
      <c r="F16" s="3">
        <v>35</v>
      </c>
      <c r="G16" s="2" t="s">
        <v>17</v>
      </c>
    </row>
    <row r="17" spans="2:7" ht="15" thickBot="1" x14ac:dyDescent="0.35">
      <c r="B17" s="4" t="s">
        <v>45</v>
      </c>
      <c r="C17" s="4" t="s">
        <v>46</v>
      </c>
      <c r="D17" s="4" t="s">
        <v>47</v>
      </c>
      <c r="E17" s="5">
        <v>150</v>
      </c>
      <c r="F17" s="5">
        <v>15</v>
      </c>
      <c r="G17" s="4" t="s">
        <v>9</v>
      </c>
    </row>
    <row r="18" spans="2:7" ht="15" thickBot="1" x14ac:dyDescent="0.35">
      <c r="B18" s="2" t="s">
        <v>48</v>
      </c>
      <c r="C18" s="2" t="s">
        <v>26</v>
      </c>
      <c r="D18" s="2" t="s">
        <v>49</v>
      </c>
      <c r="E18" s="3">
        <v>250</v>
      </c>
      <c r="F18" s="3">
        <v>20</v>
      </c>
      <c r="G18" s="2" t="s">
        <v>9</v>
      </c>
    </row>
    <row r="19" spans="2:7" ht="27.6" thickBot="1" x14ac:dyDescent="0.35">
      <c r="B19" s="4" t="s">
        <v>50</v>
      </c>
      <c r="C19" s="4" t="s">
        <v>51</v>
      </c>
      <c r="D19" s="4" t="s">
        <v>52</v>
      </c>
      <c r="E19" s="5">
        <v>50</v>
      </c>
      <c r="F19" s="5">
        <v>35</v>
      </c>
      <c r="G19" s="4" t="s">
        <v>53</v>
      </c>
    </row>
    <row r="20" spans="2:7" ht="15" thickBot="1" x14ac:dyDescent="0.35">
      <c r="B20" s="2" t="s">
        <v>54</v>
      </c>
      <c r="C20" s="2" t="s">
        <v>46</v>
      </c>
      <c r="D20" s="2" t="s">
        <v>55</v>
      </c>
      <c r="E20" s="3">
        <v>160</v>
      </c>
      <c r="F20" s="3">
        <v>15</v>
      </c>
      <c r="G20" s="2" t="s">
        <v>9</v>
      </c>
    </row>
    <row r="21" spans="2:7" ht="15" thickBot="1" x14ac:dyDescent="0.35">
      <c r="B21" s="4" t="s">
        <v>56</v>
      </c>
      <c r="C21" s="4" t="s">
        <v>7</v>
      </c>
      <c r="D21" s="4" t="s">
        <v>57</v>
      </c>
      <c r="E21" s="5">
        <v>980</v>
      </c>
      <c r="F21" s="5">
        <v>10</v>
      </c>
      <c r="G21" s="4" t="s">
        <v>9</v>
      </c>
    </row>
    <row r="22" spans="2:7" ht="15" thickBot="1" x14ac:dyDescent="0.35">
      <c r="B22" s="2" t="s">
        <v>58</v>
      </c>
      <c r="C22" s="2" t="s">
        <v>59</v>
      </c>
      <c r="D22" s="2" t="s">
        <v>60</v>
      </c>
      <c r="E22" s="3">
        <v>150</v>
      </c>
      <c r="F22" s="3">
        <v>15</v>
      </c>
      <c r="G22" s="2" t="s">
        <v>13</v>
      </c>
    </row>
    <row r="23" spans="2:7" ht="15" thickBot="1" x14ac:dyDescent="0.35">
      <c r="B23" s="4" t="s">
        <v>61</v>
      </c>
      <c r="C23" s="4" t="s">
        <v>62</v>
      </c>
      <c r="D23" s="4" t="s">
        <v>63</v>
      </c>
      <c r="E23" s="5">
        <v>200</v>
      </c>
      <c r="F23" s="5">
        <v>10</v>
      </c>
      <c r="G23" s="4" t="s">
        <v>24</v>
      </c>
    </row>
    <row r="24" spans="2:7" ht="15" thickBot="1" x14ac:dyDescent="0.35">
      <c r="B24" s="2" t="s">
        <v>64</v>
      </c>
      <c r="C24" s="2" t="s">
        <v>65</v>
      </c>
      <c r="D24" s="2" t="s">
        <v>66</v>
      </c>
      <c r="E24" s="3">
        <v>700</v>
      </c>
      <c r="F24" s="3">
        <v>50</v>
      </c>
      <c r="G24" s="2" t="s">
        <v>9</v>
      </c>
    </row>
    <row r="25" spans="2:7" ht="15" thickBot="1" x14ac:dyDescent="0.35">
      <c r="B25" s="4" t="s">
        <v>67</v>
      </c>
      <c r="C25" s="4" t="s">
        <v>68</v>
      </c>
      <c r="D25" s="4" t="s">
        <v>69</v>
      </c>
      <c r="E25" s="5">
        <v>80</v>
      </c>
      <c r="F25" s="5">
        <v>20</v>
      </c>
      <c r="G25" s="4" t="s">
        <v>17</v>
      </c>
    </row>
    <row r="26" spans="2:7" ht="15" thickBot="1" x14ac:dyDescent="0.35">
      <c r="B26" s="2" t="s">
        <v>70</v>
      </c>
      <c r="C26" s="2" t="s">
        <v>71</v>
      </c>
      <c r="D26" s="2" t="s">
        <v>72</v>
      </c>
      <c r="E26" s="3">
        <v>150</v>
      </c>
      <c r="F26" s="3">
        <v>30</v>
      </c>
      <c r="G26" s="2" t="s">
        <v>9</v>
      </c>
    </row>
    <row r="27" spans="2:7" ht="27.6" thickBot="1" x14ac:dyDescent="0.35">
      <c r="B27" s="4" t="s">
        <v>50</v>
      </c>
      <c r="C27" s="4" t="s">
        <v>51</v>
      </c>
      <c r="D27" s="4" t="s">
        <v>52</v>
      </c>
      <c r="E27" s="5">
        <v>50</v>
      </c>
      <c r="F27" s="5">
        <v>35</v>
      </c>
      <c r="G27" s="4" t="s">
        <v>53</v>
      </c>
    </row>
    <row r="28" spans="2:7" ht="15" thickBot="1" x14ac:dyDescent="0.35">
      <c r="B28" s="2" t="s">
        <v>73</v>
      </c>
      <c r="C28" s="2" t="s">
        <v>19</v>
      </c>
      <c r="D28" s="2" t="s">
        <v>74</v>
      </c>
      <c r="E28" s="3">
        <v>800</v>
      </c>
      <c r="F28" s="3">
        <v>45</v>
      </c>
      <c r="G28" s="2" t="s">
        <v>9</v>
      </c>
    </row>
    <row r="29" spans="2:7" ht="15" thickBot="1" x14ac:dyDescent="0.35">
      <c r="B29" s="4" t="s">
        <v>75</v>
      </c>
      <c r="C29" s="4" t="s">
        <v>59</v>
      </c>
      <c r="D29" s="4" t="s">
        <v>76</v>
      </c>
      <c r="E29" s="5">
        <v>130</v>
      </c>
      <c r="F29" s="5">
        <v>25</v>
      </c>
      <c r="G29" s="4" t="s">
        <v>13</v>
      </c>
    </row>
    <row r="30" spans="2:7" ht="15" thickBot="1" x14ac:dyDescent="0.35">
      <c r="B30" s="2" t="s">
        <v>77</v>
      </c>
      <c r="C30" s="2" t="s">
        <v>32</v>
      </c>
      <c r="D30" s="2" t="s">
        <v>78</v>
      </c>
      <c r="E30" s="3">
        <v>400</v>
      </c>
      <c r="F30" s="3">
        <v>40</v>
      </c>
      <c r="G30" s="2" t="s">
        <v>17</v>
      </c>
    </row>
    <row r="31" spans="2:7" ht="15" thickBot="1" x14ac:dyDescent="0.35">
      <c r="B31" s="4" t="s">
        <v>48</v>
      </c>
      <c r="C31" s="4" t="s">
        <v>26</v>
      </c>
      <c r="D31" s="4" t="s">
        <v>49</v>
      </c>
      <c r="E31" s="5">
        <v>230</v>
      </c>
      <c r="F31" s="5">
        <v>20</v>
      </c>
      <c r="G31" s="4" t="s">
        <v>9</v>
      </c>
    </row>
    <row r="32" spans="2:7" ht="15" thickBot="1" x14ac:dyDescent="0.35">
      <c r="B32" s="2" t="s">
        <v>79</v>
      </c>
      <c r="C32" s="2" t="s">
        <v>80</v>
      </c>
      <c r="D32" s="2" t="s">
        <v>81</v>
      </c>
      <c r="E32" s="3">
        <v>60</v>
      </c>
      <c r="F32" s="3">
        <v>30</v>
      </c>
      <c r="G32" s="2" t="s">
        <v>13</v>
      </c>
    </row>
    <row r="33" spans="2:12" ht="15" thickBot="1" x14ac:dyDescent="0.35">
      <c r="B33" s="4" t="s">
        <v>82</v>
      </c>
      <c r="C33" s="4" t="s">
        <v>83</v>
      </c>
      <c r="D33" s="4" t="s">
        <v>84</v>
      </c>
      <c r="E33" s="5">
        <v>40</v>
      </c>
      <c r="F33" s="5">
        <v>10</v>
      </c>
      <c r="G33" s="4" t="s">
        <v>17</v>
      </c>
    </row>
    <row r="34" spans="2:12" ht="15" thickBot="1" x14ac:dyDescent="0.35">
      <c r="B34" s="2" t="s">
        <v>85</v>
      </c>
      <c r="C34" s="2" t="s">
        <v>71</v>
      </c>
      <c r="D34" s="2" t="s">
        <v>86</v>
      </c>
      <c r="E34" s="3">
        <v>130</v>
      </c>
      <c r="F34" s="3">
        <v>5</v>
      </c>
      <c r="G34" s="2" t="s">
        <v>9</v>
      </c>
    </row>
    <row r="35" spans="2:12" ht="15" thickBot="1" x14ac:dyDescent="0.35">
      <c r="B35" s="4" t="s">
        <v>87</v>
      </c>
      <c r="C35" s="4" t="s">
        <v>88</v>
      </c>
      <c r="D35" s="4" t="s">
        <v>89</v>
      </c>
      <c r="E35" s="5">
        <v>50</v>
      </c>
      <c r="F35" s="5">
        <v>50</v>
      </c>
      <c r="G35" s="4" t="s">
        <v>13</v>
      </c>
    </row>
    <row r="36" spans="2:12" ht="15" thickBot="1" x14ac:dyDescent="0.35">
      <c r="B36" s="2" t="s">
        <v>40</v>
      </c>
      <c r="C36" s="2" t="s">
        <v>7</v>
      </c>
      <c r="D36" s="2" t="s">
        <v>41</v>
      </c>
      <c r="E36" s="3">
        <v>950</v>
      </c>
      <c r="F36" s="3">
        <v>25</v>
      </c>
      <c r="G36" s="2" t="s">
        <v>9</v>
      </c>
    </row>
    <row r="37" spans="2:12" ht="27.6" thickBot="1" x14ac:dyDescent="0.35">
      <c r="B37" s="4" t="s">
        <v>90</v>
      </c>
      <c r="C37" s="4" t="s">
        <v>91</v>
      </c>
      <c r="D37" s="4" t="s">
        <v>92</v>
      </c>
      <c r="E37" s="5">
        <v>100</v>
      </c>
      <c r="F37" s="5">
        <v>20</v>
      </c>
      <c r="G37" s="4" t="s">
        <v>53</v>
      </c>
      <c r="L37" s="20"/>
    </row>
    <row r="38" spans="2:12" x14ac:dyDescent="0.3">
      <c r="D38" s="7"/>
    </row>
    <row r="39" spans="2:12" x14ac:dyDescent="0.3">
      <c r="D39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47CF-40B9-4168-A413-1289EC18226F}">
  <dimension ref="B2:Q46"/>
  <sheetViews>
    <sheetView tabSelected="1" workbookViewId="0">
      <selection activeCell="K4" sqref="K4"/>
    </sheetView>
  </sheetViews>
  <sheetFormatPr defaultRowHeight="14.4" x14ac:dyDescent="0.3"/>
  <cols>
    <col min="2" max="2" width="12.21875" customWidth="1"/>
    <col min="3" max="3" width="20.33203125" customWidth="1"/>
    <col min="4" max="4" width="18.44140625" customWidth="1"/>
    <col min="5" max="5" width="11.77734375" customWidth="1"/>
    <col min="6" max="6" width="10.33203125" customWidth="1"/>
    <col min="7" max="7" width="10.88671875" customWidth="1"/>
    <col min="8" max="8" width="16" customWidth="1"/>
    <col min="10" max="10" width="9.5546875" customWidth="1"/>
    <col min="11" max="11" width="10.44140625" customWidth="1"/>
  </cols>
  <sheetData>
    <row r="2" spans="2:17" ht="15" thickBot="1" x14ac:dyDescent="0.35"/>
    <row r="3" spans="2:17" ht="27.6" thickBot="1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1" t="s">
        <v>102</v>
      </c>
      <c r="I3" s="6" t="s">
        <v>94</v>
      </c>
      <c r="J3" s="6" t="s">
        <v>95</v>
      </c>
      <c r="K3" s="1" t="s">
        <v>103</v>
      </c>
      <c r="M3" s="10"/>
      <c r="N3" s="10"/>
      <c r="O3" s="11"/>
      <c r="P3" s="10"/>
      <c r="Q3" s="10"/>
    </row>
    <row r="4" spans="2:17" ht="15" thickBot="1" x14ac:dyDescent="0.35">
      <c r="B4" s="2" t="s">
        <v>6</v>
      </c>
      <c r="C4" s="2" t="s">
        <v>7</v>
      </c>
      <c r="D4" s="2" t="s">
        <v>8</v>
      </c>
      <c r="E4" s="3">
        <v>1000</v>
      </c>
      <c r="F4" s="3">
        <v>30</v>
      </c>
      <c r="G4" s="2" t="s">
        <v>9</v>
      </c>
      <c r="H4" s="9" t="str">
        <f>IF(E4&gt;=500, "HIGH PRICE", "STANDARD PRICE")</f>
        <v>HIGH PRICE</v>
      </c>
      <c r="I4" t="str">
        <f>LEFT(B4,2)</f>
        <v>28</v>
      </c>
      <c r="J4" t="str">
        <f>MID(B4,4,3)</f>
        <v>JAN</v>
      </c>
      <c r="K4" s="2" t="str">
        <f>RIGHT(B4,2)</f>
        <v>US</v>
      </c>
    </row>
    <row r="5" spans="2:17" ht="27.6" thickBot="1" x14ac:dyDescent="0.35">
      <c r="B5" s="4" t="s">
        <v>10</v>
      </c>
      <c r="C5" s="4" t="s">
        <v>11</v>
      </c>
      <c r="D5" s="4" t="s">
        <v>12</v>
      </c>
      <c r="E5" s="5">
        <v>80</v>
      </c>
      <c r="F5" s="5">
        <v>15</v>
      </c>
      <c r="G5" s="4" t="s">
        <v>13</v>
      </c>
      <c r="H5" s="9" t="str">
        <f t="shared" ref="H5:H37" si="0">IF(E5&gt;=500, "HIGH PRICE", "STANDARD PRICE")</f>
        <v>STANDARD PRICE</v>
      </c>
      <c r="I5" t="str">
        <f t="shared" ref="I5:I37" si="1">LEFT(B5,2)</f>
        <v>15</v>
      </c>
      <c r="J5" t="str">
        <f t="shared" ref="J5:J37" si="2">MID(B5,4,3)</f>
        <v>FEB</v>
      </c>
      <c r="K5" s="2" t="str">
        <f t="shared" ref="K5:K37" si="3">RIGHT(B5,2)</f>
        <v>US</v>
      </c>
    </row>
    <row r="6" spans="2:17" ht="27.6" thickBot="1" x14ac:dyDescent="0.35">
      <c r="B6" s="2" t="s">
        <v>14</v>
      </c>
      <c r="C6" s="2" t="s">
        <v>15</v>
      </c>
      <c r="D6" s="2" t="s">
        <v>16</v>
      </c>
      <c r="E6" s="3">
        <v>130</v>
      </c>
      <c r="F6" s="3">
        <v>40</v>
      </c>
      <c r="G6" s="2" t="s">
        <v>17</v>
      </c>
      <c r="H6" s="9" t="str">
        <f t="shared" si="0"/>
        <v>STANDARD PRICE</v>
      </c>
      <c r="I6" t="str">
        <f t="shared" si="1"/>
        <v>03</v>
      </c>
      <c r="J6" t="str">
        <f t="shared" si="2"/>
        <v>MAR</v>
      </c>
      <c r="K6" s="2" t="str">
        <f t="shared" si="3"/>
        <v>US</v>
      </c>
    </row>
    <row r="7" spans="2:17" ht="15" thickBot="1" x14ac:dyDescent="0.35">
      <c r="B7" s="4" t="s">
        <v>18</v>
      </c>
      <c r="C7" s="4" t="s">
        <v>19</v>
      </c>
      <c r="D7" s="4" t="s">
        <v>20</v>
      </c>
      <c r="E7" s="5">
        <v>900</v>
      </c>
      <c r="F7" s="5">
        <v>25</v>
      </c>
      <c r="G7" s="4" t="s">
        <v>9</v>
      </c>
      <c r="H7" s="9" t="str">
        <f t="shared" si="0"/>
        <v>HIGH PRICE</v>
      </c>
      <c r="I7" t="str">
        <f t="shared" si="1"/>
        <v>11</v>
      </c>
      <c r="J7" t="str">
        <f t="shared" si="2"/>
        <v>APR</v>
      </c>
      <c r="K7" s="2" t="str">
        <f t="shared" si="3"/>
        <v>US</v>
      </c>
    </row>
    <row r="8" spans="2:17" ht="27.6" thickBot="1" x14ac:dyDescent="0.35">
      <c r="B8" s="2" t="s">
        <v>21</v>
      </c>
      <c r="C8" s="2" t="s">
        <v>22</v>
      </c>
      <c r="D8" s="2" t="s">
        <v>23</v>
      </c>
      <c r="E8" s="3">
        <v>70</v>
      </c>
      <c r="F8" s="3">
        <v>20</v>
      </c>
      <c r="G8" s="2" t="s">
        <v>24</v>
      </c>
      <c r="H8" s="9" t="str">
        <f t="shared" si="0"/>
        <v>STANDARD PRICE</v>
      </c>
      <c r="I8" t="str">
        <f t="shared" si="1"/>
        <v>22</v>
      </c>
      <c r="J8" t="str">
        <f t="shared" si="2"/>
        <v>MAY</v>
      </c>
      <c r="K8" s="2" t="str">
        <f t="shared" si="3"/>
        <v>US</v>
      </c>
    </row>
    <row r="9" spans="2:17" ht="27.6" thickBot="1" x14ac:dyDescent="0.35">
      <c r="B9" s="4" t="s">
        <v>25</v>
      </c>
      <c r="C9" s="4" t="s">
        <v>26</v>
      </c>
      <c r="D9" s="4" t="s">
        <v>27</v>
      </c>
      <c r="E9" s="5">
        <v>200</v>
      </c>
      <c r="F9" s="5">
        <v>45</v>
      </c>
      <c r="G9" s="4" t="s">
        <v>9</v>
      </c>
      <c r="H9" s="9" t="str">
        <f t="shared" si="0"/>
        <v>STANDARD PRICE</v>
      </c>
      <c r="I9" t="str">
        <f t="shared" si="1"/>
        <v>07</v>
      </c>
      <c r="J9" t="str">
        <f t="shared" si="2"/>
        <v>JUN</v>
      </c>
      <c r="K9" s="2" t="str">
        <f t="shared" si="3"/>
        <v>UK</v>
      </c>
    </row>
    <row r="10" spans="2:17" ht="27.6" thickBot="1" x14ac:dyDescent="0.35">
      <c r="B10" s="2" t="s">
        <v>28</v>
      </c>
      <c r="C10" s="2" t="s">
        <v>29</v>
      </c>
      <c r="D10" s="2" t="s">
        <v>30</v>
      </c>
      <c r="E10" s="3">
        <v>30</v>
      </c>
      <c r="F10" s="3">
        <v>5</v>
      </c>
      <c r="G10" s="2" t="s">
        <v>13</v>
      </c>
      <c r="H10" s="9" t="str">
        <f t="shared" si="0"/>
        <v>STANDARD PRICE</v>
      </c>
      <c r="I10" t="str">
        <f t="shared" si="1"/>
        <v>19</v>
      </c>
      <c r="J10" t="str">
        <f t="shared" si="2"/>
        <v>JUL</v>
      </c>
      <c r="K10" s="2" t="str">
        <f t="shared" si="3"/>
        <v>UK</v>
      </c>
    </row>
    <row r="11" spans="2:17" ht="27.6" thickBot="1" x14ac:dyDescent="0.35">
      <c r="B11" s="4" t="s">
        <v>31</v>
      </c>
      <c r="C11" s="4" t="s">
        <v>32</v>
      </c>
      <c r="D11" s="4" t="s">
        <v>33</v>
      </c>
      <c r="E11" s="5">
        <v>90</v>
      </c>
      <c r="F11" s="5">
        <v>35</v>
      </c>
      <c r="G11" s="4" t="s">
        <v>17</v>
      </c>
      <c r="H11" s="9" t="str">
        <f t="shared" si="0"/>
        <v>STANDARD PRICE</v>
      </c>
      <c r="I11" t="str">
        <f t="shared" si="1"/>
        <v>23</v>
      </c>
      <c r="J11" t="str">
        <f t="shared" si="2"/>
        <v>AUG</v>
      </c>
      <c r="K11" s="2" t="str">
        <f t="shared" si="3"/>
        <v>UK</v>
      </c>
    </row>
    <row r="12" spans="2:17" ht="15" thickBot="1" x14ac:dyDescent="0.35">
      <c r="B12" s="2" t="s">
        <v>34</v>
      </c>
      <c r="C12" s="2" t="s">
        <v>35</v>
      </c>
      <c r="D12" s="2" t="s">
        <v>36</v>
      </c>
      <c r="E12" s="3">
        <v>500</v>
      </c>
      <c r="F12" s="3">
        <v>50</v>
      </c>
      <c r="G12" s="2" t="s">
        <v>9</v>
      </c>
      <c r="H12" s="9" t="str">
        <f t="shared" si="0"/>
        <v>HIGH PRICE</v>
      </c>
      <c r="I12" t="str">
        <f t="shared" si="1"/>
        <v>05</v>
      </c>
      <c r="J12" t="str">
        <f t="shared" si="2"/>
        <v>SEP</v>
      </c>
      <c r="K12" s="2" t="str">
        <f t="shared" si="3"/>
        <v>UK</v>
      </c>
    </row>
    <row r="13" spans="2:17" ht="27.6" thickBot="1" x14ac:dyDescent="0.35">
      <c r="B13" s="4" t="s">
        <v>37</v>
      </c>
      <c r="C13" s="4" t="s">
        <v>38</v>
      </c>
      <c r="D13" s="4" t="s">
        <v>39</v>
      </c>
      <c r="E13" s="5">
        <v>130</v>
      </c>
      <c r="F13" s="5">
        <v>10</v>
      </c>
      <c r="G13" s="4" t="s">
        <v>24</v>
      </c>
      <c r="H13" s="9" t="str">
        <f t="shared" si="0"/>
        <v>STANDARD PRICE</v>
      </c>
      <c r="I13" t="str">
        <f t="shared" si="1"/>
        <v>14</v>
      </c>
      <c r="J13" t="str">
        <f t="shared" si="2"/>
        <v>OCT</v>
      </c>
      <c r="K13" s="2" t="str">
        <f t="shared" si="3"/>
        <v>UK</v>
      </c>
    </row>
    <row r="14" spans="2:17" ht="15" thickBot="1" x14ac:dyDescent="0.35">
      <c r="B14" s="2" t="s">
        <v>40</v>
      </c>
      <c r="C14" s="2" t="s">
        <v>7</v>
      </c>
      <c r="D14" s="2" t="s">
        <v>41</v>
      </c>
      <c r="E14" s="3">
        <v>950</v>
      </c>
      <c r="F14" s="3">
        <v>25</v>
      </c>
      <c r="G14" s="2" t="s">
        <v>9</v>
      </c>
      <c r="H14" s="9" t="str">
        <f t="shared" si="0"/>
        <v>HIGH PRICE</v>
      </c>
      <c r="I14" t="str">
        <f t="shared" si="1"/>
        <v>17</v>
      </c>
      <c r="J14" t="str">
        <f t="shared" si="2"/>
        <v>JUN</v>
      </c>
      <c r="K14" s="2" t="str">
        <f t="shared" si="3"/>
        <v>IN</v>
      </c>
    </row>
    <row r="15" spans="2:17" ht="27.6" thickBot="1" x14ac:dyDescent="0.35">
      <c r="B15" s="4" t="s">
        <v>42</v>
      </c>
      <c r="C15" s="4" t="s">
        <v>11</v>
      </c>
      <c r="D15" s="4" t="s">
        <v>30</v>
      </c>
      <c r="E15" s="5">
        <v>90</v>
      </c>
      <c r="F15" s="5">
        <v>40</v>
      </c>
      <c r="G15" s="4" t="s">
        <v>13</v>
      </c>
      <c r="H15" s="9" t="str">
        <f t="shared" si="0"/>
        <v>STANDARD PRICE</v>
      </c>
      <c r="I15" t="str">
        <f t="shared" si="1"/>
        <v>25</v>
      </c>
      <c r="J15" t="str">
        <f t="shared" si="2"/>
        <v>NOV</v>
      </c>
      <c r="K15" s="2" t="str">
        <f t="shared" si="3"/>
        <v>AU</v>
      </c>
    </row>
    <row r="16" spans="2:17" ht="27.6" thickBot="1" x14ac:dyDescent="0.35">
      <c r="B16" s="2" t="s">
        <v>43</v>
      </c>
      <c r="C16" s="2" t="s">
        <v>15</v>
      </c>
      <c r="D16" s="2" t="s">
        <v>44</v>
      </c>
      <c r="E16" s="3">
        <v>120</v>
      </c>
      <c r="F16" s="3">
        <v>35</v>
      </c>
      <c r="G16" s="2" t="s">
        <v>17</v>
      </c>
      <c r="H16" s="9" t="str">
        <f t="shared" si="0"/>
        <v>STANDARD PRICE</v>
      </c>
      <c r="I16" t="str">
        <f t="shared" si="1"/>
        <v>08</v>
      </c>
      <c r="J16" t="str">
        <f t="shared" si="2"/>
        <v>DEC</v>
      </c>
      <c r="K16" s="2" t="str">
        <f t="shared" si="3"/>
        <v>DE</v>
      </c>
    </row>
    <row r="17" spans="2:11" ht="27.6" thickBot="1" x14ac:dyDescent="0.35">
      <c r="B17" s="4" t="s">
        <v>45</v>
      </c>
      <c r="C17" s="4" t="s">
        <v>46</v>
      </c>
      <c r="D17" s="4" t="s">
        <v>47</v>
      </c>
      <c r="E17" s="5">
        <v>150</v>
      </c>
      <c r="F17" s="5">
        <v>15</v>
      </c>
      <c r="G17" s="4" t="s">
        <v>9</v>
      </c>
      <c r="H17" s="9" t="str">
        <f t="shared" si="0"/>
        <v>STANDARD PRICE</v>
      </c>
      <c r="I17" t="str">
        <f t="shared" si="1"/>
        <v>18</v>
      </c>
      <c r="J17" t="str">
        <f t="shared" si="2"/>
        <v>FEB</v>
      </c>
      <c r="K17" s="2" t="str">
        <f t="shared" si="3"/>
        <v>CA</v>
      </c>
    </row>
    <row r="18" spans="2:11" ht="27.6" thickBot="1" x14ac:dyDescent="0.35">
      <c r="B18" s="2" t="s">
        <v>48</v>
      </c>
      <c r="C18" s="2" t="s">
        <v>26</v>
      </c>
      <c r="D18" s="2" t="s">
        <v>49</v>
      </c>
      <c r="E18" s="3">
        <v>250</v>
      </c>
      <c r="F18" s="3">
        <v>20</v>
      </c>
      <c r="G18" s="2" t="s">
        <v>9</v>
      </c>
      <c r="H18" s="9" t="str">
        <f t="shared" si="0"/>
        <v>STANDARD PRICE</v>
      </c>
      <c r="I18" t="str">
        <f t="shared" si="1"/>
        <v>16</v>
      </c>
      <c r="J18" t="str">
        <f t="shared" si="2"/>
        <v>APR</v>
      </c>
      <c r="K18" s="2" t="str">
        <f t="shared" si="3"/>
        <v>ES</v>
      </c>
    </row>
    <row r="19" spans="2:11" ht="27.6" thickBot="1" x14ac:dyDescent="0.35">
      <c r="B19" s="4" t="s">
        <v>50</v>
      </c>
      <c r="C19" s="4" t="s">
        <v>51</v>
      </c>
      <c r="D19" s="4" t="s">
        <v>52</v>
      </c>
      <c r="E19" s="5">
        <v>50</v>
      </c>
      <c r="F19" s="5">
        <v>35</v>
      </c>
      <c r="G19" s="4" t="s">
        <v>53</v>
      </c>
      <c r="H19" s="9" t="str">
        <f t="shared" si="0"/>
        <v>STANDARD PRICE</v>
      </c>
      <c r="I19" t="str">
        <f t="shared" si="1"/>
        <v>21</v>
      </c>
      <c r="J19" t="str">
        <f t="shared" si="2"/>
        <v>AUG</v>
      </c>
      <c r="K19" s="2" t="str">
        <f t="shared" si="3"/>
        <v>CA</v>
      </c>
    </row>
    <row r="20" spans="2:11" ht="27.6" thickBot="1" x14ac:dyDescent="0.35">
      <c r="B20" s="2" t="s">
        <v>54</v>
      </c>
      <c r="C20" s="2" t="s">
        <v>46</v>
      </c>
      <c r="D20" s="2" t="s">
        <v>55</v>
      </c>
      <c r="E20" s="3">
        <v>160</v>
      </c>
      <c r="F20" s="3">
        <v>15</v>
      </c>
      <c r="G20" s="2" t="s">
        <v>9</v>
      </c>
      <c r="H20" s="9" t="str">
        <f t="shared" si="0"/>
        <v>STANDARD PRICE</v>
      </c>
      <c r="I20" t="str">
        <f t="shared" si="1"/>
        <v>20</v>
      </c>
      <c r="J20" t="str">
        <f t="shared" si="2"/>
        <v>AUG</v>
      </c>
      <c r="K20" s="2" t="str">
        <f t="shared" si="3"/>
        <v>CN</v>
      </c>
    </row>
    <row r="21" spans="2:11" ht="15" thickBot="1" x14ac:dyDescent="0.35">
      <c r="B21" s="4" t="s">
        <v>56</v>
      </c>
      <c r="C21" s="4" t="s">
        <v>7</v>
      </c>
      <c r="D21" s="4" t="s">
        <v>57</v>
      </c>
      <c r="E21" s="5">
        <v>980</v>
      </c>
      <c r="F21" s="5">
        <v>10</v>
      </c>
      <c r="G21" s="4" t="s">
        <v>9</v>
      </c>
      <c r="H21" s="9" t="str">
        <f t="shared" si="0"/>
        <v>HIGH PRICE</v>
      </c>
      <c r="I21" t="str">
        <f t="shared" si="1"/>
        <v>27</v>
      </c>
      <c r="J21" t="str">
        <f t="shared" si="2"/>
        <v>JAN</v>
      </c>
      <c r="K21" s="2" t="str">
        <f t="shared" si="3"/>
        <v>IT</v>
      </c>
    </row>
    <row r="22" spans="2:11" ht="27.6" thickBot="1" x14ac:dyDescent="0.35">
      <c r="B22" s="2" t="s">
        <v>58</v>
      </c>
      <c r="C22" s="2" t="s">
        <v>59</v>
      </c>
      <c r="D22" s="2" t="s">
        <v>60</v>
      </c>
      <c r="E22" s="3">
        <v>150</v>
      </c>
      <c r="F22" s="3">
        <v>15</v>
      </c>
      <c r="G22" s="2" t="s">
        <v>13</v>
      </c>
      <c r="H22" s="9" t="str">
        <f t="shared" si="0"/>
        <v>STANDARD PRICE</v>
      </c>
      <c r="I22" t="str">
        <f t="shared" si="1"/>
        <v>01</v>
      </c>
      <c r="J22" t="str">
        <f t="shared" si="2"/>
        <v>MAR</v>
      </c>
      <c r="K22" s="2" t="str">
        <f t="shared" si="3"/>
        <v>UK</v>
      </c>
    </row>
    <row r="23" spans="2:11" ht="27.6" thickBot="1" x14ac:dyDescent="0.35">
      <c r="B23" s="4" t="s">
        <v>61</v>
      </c>
      <c r="C23" s="4" t="s">
        <v>62</v>
      </c>
      <c r="D23" s="4" t="s">
        <v>63</v>
      </c>
      <c r="E23" s="5">
        <v>200</v>
      </c>
      <c r="F23" s="5">
        <v>10</v>
      </c>
      <c r="G23" s="4" t="s">
        <v>24</v>
      </c>
      <c r="H23" s="9" t="str">
        <f t="shared" si="0"/>
        <v>STANDARD PRICE</v>
      </c>
      <c r="I23" t="str">
        <f t="shared" si="1"/>
        <v>14</v>
      </c>
      <c r="J23" t="str">
        <f t="shared" si="2"/>
        <v>AUG</v>
      </c>
      <c r="K23" s="2" t="str">
        <f t="shared" si="3"/>
        <v>US</v>
      </c>
    </row>
    <row r="24" spans="2:11" ht="15" thickBot="1" x14ac:dyDescent="0.35">
      <c r="B24" s="2" t="s">
        <v>64</v>
      </c>
      <c r="C24" s="2" t="s">
        <v>65</v>
      </c>
      <c r="D24" s="2" t="s">
        <v>66</v>
      </c>
      <c r="E24" s="3">
        <v>700</v>
      </c>
      <c r="F24" s="3">
        <v>50</v>
      </c>
      <c r="G24" s="2" t="s">
        <v>9</v>
      </c>
      <c r="H24" s="9" t="str">
        <f t="shared" si="0"/>
        <v>HIGH PRICE</v>
      </c>
      <c r="I24" t="str">
        <f t="shared" si="1"/>
        <v>14</v>
      </c>
      <c r="J24" t="str">
        <f t="shared" si="2"/>
        <v>MAY</v>
      </c>
      <c r="K24" s="2" t="str">
        <f t="shared" si="3"/>
        <v>RU</v>
      </c>
    </row>
    <row r="25" spans="2:11" ht="27.6" thickBot="1" x14ac:dyDescent="0.35">
      <c r="B25" s="4" t="s">
        <v>67</v>
      </c>
      <c r="C25" s="4" t="s">
        <v>68</v>
      </c>
      <c r="D25" s="4" t="s">
        <v>69</v>
      </c>
      <c r="E25" s="5">
        <v>80</v>
      </c>
      <c r="F25" s="5">
        <v>20</v>
      </c>
      <c r="G25" s="4" t="s">
        <v>17</v>
      </c>
      <c r="H25" s="9" t="str">
        <f t="shared" si="0"/>
        <v>STANDARD PRICE</v>
      </c>
      <c r="I25" t="str">
        <f t="shared" si="1"/>
        <v>09</v>
      </c>
      <c r="J25" t="str">
        <f t="shared" si="2"/>
        <v>JAN</v>
      </c>
      <c r="K25" s="2" t="str">
        <f t="shared" si="3"/>
        <v>CA</v>
      </c>
    </row>
    <row r="26" spans="2:11" ht="27.6" thickBot="1" x14ac:dyDescent="0.35">
      <c r="B26" s="2" t="s">
        <v>70</v>
      </c>
      <c r="C26" s="2" t="s">
        <v>71</v>
      </c>
      <c r="D26" s="2" t="s">
        <v>72</v>
      </c>
      <c r="E26" s="3">
        <v>150</v>
      </c>
      <c r="F26" s="3">
        <v>30</v>
      </c>
      <c r="G26" s="2" t="s">
        <v>9</v>
      </c>
      <c r="H26" s="9" t="str">
        <f t="shared" si="0"/>
        <v>STANDARD PRICE</v>
      </c>
      <c r="I26" t="str">
        <f t="shared" si="1"/>
        <v>19</v>
      </c>
      <c r="J26" t="str">
        <f t="shared" si="2"/>
        <v>JUL</v>
      </c>
      <c r="K26" s="2" t="str">
        <f t="shared" si="3"/>
        <v>BR</v>
      </c>
    </row>
    <row r="27" spans="2:11" ht="27.6" thickBot="1" x14ac:dyDescent="0.35">
      <c r="B27" s="4" t="s">
        <v>50</v>
      </c>
      <c r="C27" s="4" t="s">
        <v>51</v>
      </c>
      <c r="D27" s="4" t="s">
        <v>52</v>
      </c>
      <c r="E27" s="5">
        <v>50</v>
      </c>
      <c r="F27" s="5">
        <v>35</v>
      </c>
      <c r="G27" s="4" t="s">
        <v>53</v>
      </c>
      <c r="H27" s="9" t="str">
        <f t="shared" si="0"/>
        <v>STANDARD PRICE</v>
      </c>
      <c r="I27" t="str">
        <f t="shared" si="1"/>
        <v>21</v>
      </c>
      <c r="J27" t="str">
        <f t="shared" si="2"/>
        <v>AUG</v>
      </c>
      <c r="K27" s="2" t="str">
        <f t="shared" si="3"/>
        <v>CA</v>
      </c>
    </row>
    <row r="28" spans="2:11" ht="15" thickBot="1" x14ac:dyDescent="0.35">
      <c r="B28" s="2" t="s">
        <v>73</v>
      </c>
      <c r="C28" s="2" t="s">
        <v>19</v>
      </c>
      <c r="D28" s="2" t="s">
        <v>74</v>
      </c>
      <c r="E28" s="3">
        <v>800</v>
      </c>
      <c r="F28" s="3">
        <v>45</v>
      </c>
      <c r="G28" s="2" t="s">
        <v>9</v>
      </c>
      <c r="H28" s="9" t="str">
        <f t="shared" si="0"/>
        <v>HIGH PRICE</v>
      </c>
      <c r="I28" t="str">
        <f t="shared" si="1"/>
        <v>29</v>
      </c>
      <c r="J28" t="str">
        <f t="shared" si="2"/>
        <v>SEP</v>
      </c>
      <c r="K28" s="2" t="str">
        <f t="shared" si="3"/>
        <v>CA</v>
      </c>
    </row>
    <row r="29" spans="2:11" ht="27.6" thickBot="1" x14ac:dyDescent="0.35">
      <c r="B29" s="4" t="s">
        <v>75</v>
      </c>
      <c r="C29" s="4" t="s">
        <v>59</v>
      </c>
      <c r="D29" s="4" t="s">
        <v>76</v>
      </c>
      <c r="E29" s="5">
        <v>130</v>
      </c>
      <c r="F29" s="5">
        <v>25</v>
      </c>
      <c r="G29" s="4" t="s">
        <v>13</v>
      </c>
      <c r="H29" s="9" t="str">
        <f t="shared" si="0"/>
        <v>STANDARD PRICE</v>
      </c>
      <c r="I29" t="str">
        <f t="shared" si="1"/>
        <v>03</v>
      </c>
      <c r="J29" t="str">
        <f t="shared" si="2"/>
        <v>JUN</v>
      </c>
      <c r="K29" s="2" t="str">
        <f t="shared" si="3"/>
        <v>CA</v>
      </c>
    </row>
    <row r="30" spans="2:11" ht="27.6" thickBot="1" x14ac:dyDescent="0.35">
      <c r="B30" s="2" t="s">
        <v>77</v>
      </c>
      <c r="C30" s="2" t="s">
        <v>32</v>
      </c>
      <c r="D30" s="2" t="s">
        <v>78</v>
      </c>
      <c r="E30" s="3">
        <v>400</v>
      </c>
      <c r="F30" s="3">
        <v>40</v>
      </c>
      <c r="G30" s="2" t="s">
        <v>17</v>
      </c>
      <c r="H30" s="9" t="str">
        <f t="shared" si="0"/>
        <v>STANDARD PRICE</v>
      </c>
      <c r="I30" t="str">
        <f t="shared" si="1"/>
        <v>11</v>
      </c>
      <c r="J30" t="str">
        <f t="shared" si="2"/>
        <v>JUL</v>
      </c>
      <c r="K30" s="2" t="str">
        <f t="shared" si="3"/>
        <v>CA</v>
      </c>
    </row>
    <row r="31" spans="2:11" ht="27.6" thickBot="1" x14ac:dyDescent="0.35">
      <c r="B31" s="4" t="s">
        <v>48</v>
      </c>
      <c r="C31" s="4" t="s">
        <v>26</v>
      </c>
      <c r="D31" s="4" t="s">
        <v>49</v>
      </c>
      <c r="E31" s="5">
        <v>230</v>
      </c>
      <c r="F31" s="5">
        <v>20</v>
      </c>
      <c r="G31" s="4" t="s">
        <v>9</v>
      </c>
      <c r="H31" s="9" t="str">
        <f t="shared" si="0"/>
        <v>STANDARD PRICE</v>
      </c>
      <c r="I31" t="str">
        <f t="shared" si="1"/>
        <v>16</v>
      </c>
      <c r="J31" t="str">
        <f t="shared" si="2"/>
        <v>APR</v>
      </c>
      <c r="K31" s="2" t="str">
        <f t="shared" si="3"/>
        <v>ES</v>
      </c>
    </row>
    <row r="32" spans="2:11" ht="27.6" thickBot="1" x14ac:dyDescent="0.35">
      <c r="B32" s="2" t="s">
        <v>79</v>
      </c>
      <c r="C32" s="2" t="s">
        <v>80</v>
      </c>
      <c r="D32" s="2" t="s">
        <v>81</v>
      </c>
      <c r="E32" s="3">
        <v>60</v>
      </c>
      <c r="F32" s="3">
        <v>30</v>
      </c>
      <c r="G32" s="2" t="s">
        <v>13</v>
      </c>
      <c r="H32" s="9" t="str">
        <f t="shared" si="0"/>
        <v>STANDARD PRICE</v>
      </c>
      <c r="I32" t="str">
        <f t="shared" si="1"/>
        <v>07</v>
      </c>
      <c r="J32" t="str">
        <f t="shared" si="2"/>
        <v>MAR</v>
      </c>
      <c r="K32" s="2" t="str">
        <f t="shared" si="3"/>
        <v>CA</v>
      </c>
    </row>
    <row r="33" spans="2:16" ht="27.6" thickBot="1" x14ac:dyDescent="0.35">
      <c r="B33" s="4" t="s">
        <v>82</v>
      </c>
      <c r="C33" s="4" t="s">
        <v>83</v>
      </c>
      <c r="D33" s="4" t="s">
        <v>84</v>
      </c>
      <c r="E33" s="5">
        <v>40</v>
      </c>
      <c r="F33" s="5">
        <v>10</v>
      </c>
      <c r="G33" s="4" t="s">
        <v>17</v>
      </c>
      <c r="H33" s="9" t="str">
        <f t="shared" si="0"/>
        <v>STANDARD PRICE</v>
      </c>
      <c r="I33" t="str">
        <f t="shared" si="1"/>
        <v>13</v>
      </c>
      <c r="J33" t="str">
        <f t="shared" si="2"/>
        <v>APR</v>
      </c>
      <c r="K33" s="2" t="str">
        <f t="shared" si="3"/>
        <v>CA</v>
      </c>
    </row>
    <row r="34" spans="2:16" ht="27.6" thickBot="1" x14ac:dyDescent="0.35">
      <c r="B34" s="2" t="s">
        <v>85</v>
      </c>
      <c r="C34" s="2" t="s">
        <v>71</v>
      </c>
      <c r="D34" s="2" t="s">
        <v>86</v>
      </c>
      <c r="E34" s="3">
        <v>130</v>
      </c>
      <c r="F34" s="3">
        <v>5</v>
      </c>
      <c r="G34" s="2" t="s">
        <v>9</v>
      </c>
      <c r="H34" s="9" t="str">
        <f t="shared" si="0"/>
        <v>STANDARD PRICE</v>
      </c>
      <c r="I34" t="str">
        <f t="shared" si="1"/>
        <v>24</v>
      </c>
      <c r="J34" t="str">
        <f t="shared" si="2"/>
        <v>MAY</v>
      </c>
      <c r="K34" s="2" t="str">
        <f t="shared" si="3"/>
        <v>CA</v>
      </c>
    </row>
    <row r="35" spans="2:16" ht="27.6" thickBot="1" x14ac:dyDescent="0.35">
      <c r="B35" s="4" t="s">
        <v>87</v>
      </c>
      <c r="C35" s="4" t="s">
        <v>88</v>
      </c>
      <c r="D35" s="4" t="s">
        <v>89</v>
      </c>
      <c r="E35" s="5">
        <v>50</v>
      </c>
      <c r="F35" s="5">
        <v>50</v>
      </c>
      <c r="G35" s="4" t="s">
        <v>13</v>
      </c>
      <c r="H35" s="9" t="str">
        <f t="shared" si="0"/>
        <v>STANDARD PRICE</v>
      </c>
      <c r="I35" t="str">
        <f t="shared" si="1"/>
        <v>02</v>
      </c>
      <c r="J35" t="str">
        <f t="shared" si="2"/>
        <v>DEC</v>
      </c>
      <c r="K35" s="2" t="str">
        <f t="shared" si="3"/>
        <v>CA</v>
      </c>
    </row>
    <row r="36" spans="2:16" ht="15" thickBot="1" x14ac:dyDescent="0.35">
      <c r="B36" s="2" t="s">
        <v>40</v>
      </c>
      <c r="C36" s="2" t="s">
        <v>7</v>
      </c>
      <c r="D36" s="2" t="s">
        <v>41</v>
      </c>
      <c r="E36" s="3">
        <v>950</v>
      </c>
      <c r="F36" s="3">
        <v>25</v>
      </c>
      <c r="G36" s="2" t="s">
        <v>9</v>
      </c>
      <c r="H36" s="9" t="str">
        <f t="shared" si="0"/>
        <v>HIGH PRICE</v>
      </c>
      <c r="I36" t="str">
        <f t="shared" si="1"/>
        <v>17</v>
      </c>
      <c r="J36" t="str">
        <f t="shared" si="2"/>
        <v>JUN</v>
      </c>
      <c r="K36" s="2" t="str">
        <f t="shared" si="3"/>
        <v>IN</v>
      </c>
    </row>
    <row r="37" spans="2:16" ht="27.6" thickBot="1" x14ac:dyDescent="0.35">
      <c r="B37" s="4" t="s">
        <v>90</v>
      </c>
      <c r="C37" s="4" t="s">
        <v>91</v>
      </c>
      <c r="D37" s="4" t="s">
        <v>92</v>
      </c>
      <c r="E37" s="5">
        <v>100</v>
      </c>
      <c r="F37" s="5">
        <v>20</v>
      </c>
      <c r="G37" s="4" t="s">
        <v>53</v>
      </c>
      <c r="H37" s="9" t="str">
        <f t="shared" si="0"/>
        <v>STANDARD PRICE</v>
      </c>
      <c r="I37" t="str">
        <f t="shared" si="1"/>
        <v>09</v>
      </c>
      <c r="J37" t="str">
        <f t="shared" si="2"/>
        <v>JUL</v>
      </c>
      <c r="K37" s="2" t="str">
        <f t="shared" si="3"/>
        <v>FR</v>
      </c>
      <c r="P37" s="20"/>
    </row>
    <row r="38" spans="2:16" ht="15" thickBot="1" x14ac:dyDescent="0.35">
      <c r="D38" s="12" t="s">
        <v>93</v>
      </c>
      <c r="E38" s="2">
        <f>SUM(E4:E37)</f>
        <v>10100</v>
      </c>
      <c r="F38" s="2"/>
      <c r="G38" s="3"/>
      <c r="H38" s="3"/>
      <c r="I38" s="2"/>
      <c r="J38" s="2"/>
    </row>
    <row r="39" spans="2:16" ht="15" thickBot="1" x14ac:dyDescent="0.35">
      <c r="D39" s="13" t="s">
        <v>96</v>
      </c>
      <c r="E39" s="19">
        <f>COUNT(E4:E37)</f>
        <v>34</v>
      </c>
      <c r="F39" s="17"/>
      <c r="G39" s="18"/>
      <c r="H39" s="18"/>
      <c r="I39" s="17"/>
      <c r="J39" s="2"/>
    </row>
    <row r="40" spans="2:16" x14ac:dyDescent="0.3">
      <c r="D40" s="14" t="s">
        <v>97</v>
      </c>
      <c r="E40">
        <f>AVERAGE(E4:E37)</f>
        <v>297.05882352941177</v>
      </c>
    </row>
    <row r="41" spans="2:16" x14ac:dyDescent="0.3">
      <c r="D41" s="15" t="s">
        <v>98</v>
      </c>
      <c r="E41" s="20">
        <f>MIN(E4:E37)</f>
        <v>30</v>
      </c>
    </row>
    <row r="42" spans="2:16" x14ac:dyDescent="0.3">
      <c r="D42" s="14" t="s">
        <v>99</v>
      </c>
      <c r="E42">
        <f>MAX(E4:E37)</f>
        <v>1000</v>
      </c>
      <c r="J42" s="16"/>
    </row>
    <row r="43" spans="2:16" x14ac:dyDescent="0.3">
      <c r="C43" s="8"/>
      <c r="D43" s="14" t="s">
        <v>101</v>
      </c>
      <c r="E43" s="20">
        <f>SUMIF(G4:G37,"ELECTRONICS",E4:E37)</f>
        <v>8050</v>
      </c>
    </row>
    <row r="44" spans="2:16" x14ac:dyDescent="0.3">
      <c r="D44" s="14" t="s">
        <v>100</v>
      </c>
      <c r="E44">
        <f>COUNTIF(E4:E37,"&lt;100")</f>
        <v>11</v>
      </c>
    </row>
    <row r="45" spans="2:16" x14ac:dyDescent="0.3">
      <c r="D45" s="7"/>
    </row>
    <row r="46" spans="2:16" x14ac:dyDescent="0.3">
      <c r="D46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mufassirmohammed5088@gmail.com</dc:creator>
  <cp:lastModifiedBy>mufassirmohammed5088@gmail.com</cp:lastModifiedBy>
  <cp:lastPrinted>2026-10-02T11:55:12Z</cp:lastPrinted>
  <dcterms:created xsi:type="dcterms:W3CDTF">2026-10-02T10:42:35Z</dcterms:created>
  <dcterms:modified xsi:type="dcterms:W3CDTF">2026-10-04T16:49:48Z</dcterms:modified>
</cp:coreProperties>
</file>